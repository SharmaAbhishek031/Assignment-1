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/>
  <mc:AlternateContent xmlns:mc="http://schemas.openxmlformats.org/markup-compatibility/2006">
    <mc:Choice Requires="x15">
      <x15ac:absPath xmlns:x15ac="http://schemas.microsoft.com/office/spreadsheetml/2010/11/ac" url="D:\internship\Assignment 3_Batch 1203\"/>
    </mc:Choice>
  </mc:AlternateContent>
  <bookViews>
    <workbookView xWindow="-108" yWindow="-108" windowWidth="23256" windowHeight="12456"/>
  </bookViews>
  <sheets>
    <sheet name="Unmessenger" sheetId="1" r:id="rId1"/>
    <sheet name="Sheet1" sheetId="2" r:id="rId2"/>
  </sheets>
  <definedNames>
    <definedName name="_xlnm._FilterDatabase" localSheetId="0" hidden="1">Unmessenger!$F$64:$G$76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8" i="1" l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K15" i="1"/>
  <c r="F12" i="1"/>
  <c r="F52" i="1" l="1"/>
  <c r="F49" i="1"/>
  <c r="F42" i="1"/>
  <c r="F38" i="1"/>
  <c r="F35" i="1"/>
  <c r="F26" i="1"/>
  <c r="F21" i="1"/>
  <c r="F17" i="1"/>
</calcChain>
</file>

<file path=xl/sharedStrings.xml><?xml version="1.0" encoding="utf-8"?>
<sst xmlns="http://schemas.openxmlformats.org/spreadsheetml/2006/main" count="293" uniqueCount="174">
  <si>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</si>
  <si>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</si>
  <si>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</si>
  <si>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</si>
  <si>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</si>
  <si>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</si>
  <si>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</si>
  <si>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</si>
  <si>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</si>
  <si>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</si>
  <si>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</si>
  <si>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</si>
  <si>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</si>
  <si>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</si>
  <si>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</si>
  <si>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</si>
  <si>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</si>
  <si>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</si>
  <si>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</si>
  <si>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</si>
  <si>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</si>
  <si>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</si>
  <si>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</si>
  <si>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</si>
  <si>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</si>
  <si>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</si>
  <si>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</si>
  <si>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</si>
  <si>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</si>
  <si>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</si>
  <si>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</si>
  <si>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</si>
  <si>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</si>
  <si>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</si>
  <si>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</si>
  <si>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</si>
  <si>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</si>
  <si>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</si>
  <si>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</si>
  <si>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</si>
  <si>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</si>
  <si>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</si>
  <si>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</si>
  <si>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</si>
  <si>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</si>
  <si>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</si>
  <si>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</si>
  <si>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</si>
  <si>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</si>
  <si>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</si>
  <si>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</si>
  <si>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</si>
  <si>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</si>
  <si>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</si>
  <si>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</si>
  <si>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</si>
  <si>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</si>
  <si>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</si>
  <si>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</si>
  <si>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</si>
  <si>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</si>
  <si>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</si>
  <si>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</si>
  <si>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</si>
  <si>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</si>
  <si>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</si>
  <si>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</si>
  <si>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</si>
  <si>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</si>
  <si>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</si>
  <si>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</si>
  <si>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</si>
  <si>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</si>
  <si>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</si>
  <si>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</si>
  <si>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</si>
  <si>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</si>
  <si>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</si>
  <si>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</si>
  <si>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</si>
  <si>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</si>
  <si>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</si>
  <si>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</si>
  <si>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</si>
  <si>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</si>
  <si>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</si>
  <si>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</si>
  <si>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</si>
  <si>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</si>
  <si>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</si>
  <si>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</si>
  <si>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</si>
  <si>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</si>
  <si>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</si>
  <si>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</si>
  <si>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</si>
  <si>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</si>
  <si>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</si>
  <si>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</si>
  <si>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</si>
  <si>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</si>
  <si>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</si>
  <si>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</si>
  <si>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</si>
  <si>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</si>
  <si>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</si>
  <si>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</si>
  <si>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</si>
  <si>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</si>
  <si>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</si>
  <si>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</si>
  <si>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</si>
  <si>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</si>
  <si>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</si>
  <si>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</si>
  <si>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</si>
  <si>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</si>
  <si>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</si>
  <si>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</si>
  <si>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</si>
  <si>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</si>
  <si>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</si>
  <si>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</si>
  <si>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</si>
  <si>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</si>
  <si>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</si>
  <si>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</si>
  <si>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</si>
  <si>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</si>
  <si>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</si>
  <si>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</si>
  <si>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</si>
  <si>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</si>
  <si>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</si>
  <si>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</si>
  <si>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</si>
  <si>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</si>
  <si>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</si>
  <si>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OperarYION</t>
  </si>
  <si>
    <t>Operations</t>
  </si>
  <si>
    <t>IT Department</t>
  </si>
  <si>
    <t>HR</t>
  </si>
  <si>
    <t>Finance/Accounts</t>
  </si>
  <si>
    <t>Mangement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</si>
  <si>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</si>
  <si>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</si>
  <si>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</si>
  <si>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</si>
  <si>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</si>
  <si>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</si>
  <si>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</si>
  <si>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</si>
  <si>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</si>
  <si>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</si>
  <si>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</si>
  <si>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</si>
  <si>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</si>
  <si>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divyasinghsupport@dataisgood</t>
  </si>
  <si>
    <t>IT Devlopment</t>
  </si>
  <si>
    <t>DATA SCIENCE</t>
  </si>
  <si>
    <t>Swati MisHRa</t>
  </si>
  <si>
    <t>swati.misHRa@yahoo.com</t>
  </si>
  <si>
    <t>Pooja MisHRa</t>
  </si>
  <si>
    <t>pooja.misHRa@yahoo.com</t>
  </si>
  <si>
    <t>91-7777777686</t>
  </si>
  <si>
    <t>91-6666666575</t>
  </si>
  <si>
    <t>91-5555555464</t>
  </si>
  <si>
    <t>91-8888888797</t>
  </si>
  <si>
    <t>91-1234567799</t>
  </si>
  <si>
    <t>91-8765432018</t>
  </si>
  <si>
    <t>91-9876543119</t>
  </si>
  <si>
    <t>91-9999999908</t>
  </si>
  <si>
    <t>9191-6666666666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</si>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</sst>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/>
    <xf numFmtId="0" fontId="0" fillId="0" borderId="0" xfId="0" applyFont="1"/>
    <xf numFmtId="0" fontId="0" fillId="0" borderId="0" xfId="0" applyFill="1" applyBorder="1" applyAlignment="1"/>
    <xf numFmtId="0" fontId="0" fillId="0" borderId="1" xfId="0" applyFill="1" applyBorder="1" applyAlignment="1"/>
    <xf numFmtId="0" fontId="2" fillId="0" borderId="2" xfId="0" applyFont="1" applyFill="1" applyBorder="1" applyAlignment="1">
      <alignment horizontal="centerContinuous"/>
    </xf>
    <xf numFmtId="0" fontId="3" fillId="0" borderId="0" xfId="1"/>
    <xf numFmtId="0" fontId="0" fillId="0" borderId="0" xfId="0" applyNumberFormat="1" applyFont="1"/>
  </cellXfs>
  <cellStyles count="2">
    <cellStyle name="Hyperlink" xfId="1" builtinId="8"/>
    <cellStyle name="Normal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N55" totalsRowShown="0" headerRowDxfId="12" dataDxfId="11">
  <tableColumns count="10">
    <tableColumn id="1" name="Id" dataDxfId="10"/>
    <tableColumn id="2" name="Name" dataDxfId="9"/>
    <tableColumn id="3" name="Age" dataDxfId="8"/>
    <tableColumn id="4" name="Gender" dataDxfId="7"/>
    <tableColumn id="5" name="Department" dataDxfId="6"/>
    <tableColumn id="6" name="Email" dataDxfId="5"/>
    <tableColumn id="7" name="Phone" dataDxfId="2"/>
    <tableColumn id="8" name="Address" dataDxfId="4"/>
    <tableColumn id="14" name="Status" dataDxfId="0">
      <calculatedColumnFormula>IF(ISBLANK(L8),"Address not Available"," ")</calculatedColumnFormula>
    </tableColumn>
    <tableColumn id="9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man.verma@gmail.com" TargetMode="External"/><Relationship Id="rId1" Type="http://schemas.openxmlformats.org/officeDocument/2006/relationships/hyperlink" Target="mailto:rakesh.kumar@yahoo.com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N76"/>
  <sheetViews>
    <sheetView tabSelected="1" topLeftCell="J1" workbookViewId="0">
      <selection activeCell="M15" sqref="M15"/>
    </sheetView>
  </sheetViews>
  <sheetFormatPr defaultRowHeight="14.4" x14ac:dyDescent="0.3"/>
  <cols>
    <col min="5" max="5" width="8.21875" customWidth="1"/>
    <col min="6" max="6" width="13.109375" bestFit="1" customWidth="1"/>
    <col min="7" max="7" width="7.6640625" customWidth="1"/>
    <col min="8" max="8" width="10.33203125" customWidth="1"/>
    <col min="9" max="9" width="15.5546875" bestFit="1" customWidth="1"/>
    <col min="10" max="10" width="27.21875" bestFit="1" customWidth="1"/>
    <col min="11" max="11" width="16.33203125" customWidth="1"/>
    <col min="12" max="12" width="36.5546875" bestFit="1" customWidth="1"/>
    <col min="13" max="13" width="36.5546875" customWidth="1"/>
    <col min="14" max="14" width="16.77734375" customWidth="1"/>
  </cols>
  <sheetData>
    <row r="7" spans="5:14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136</v>
      </c>
      <c r="J7" s="1" t="s">
        <v>4</v>
      </c>
      <c r="K7" s="1" t="s">
        <v>5</v>
      </c>
      <c r="L7" s="1" t="s">
        <v>6</v>
      </c>
      <c r="M7" s="1" t="s">
        <v>173</v>
      </c>
      <c r="N7" s="1" t="s">
        <v>130</v>
      </c>
    </row>
    <row r="8" spans="5:14" x14ac:dyDescent="0.3">
      <c r="E8" s="2">
        <v>1</v>
      </c>
      <c r="F8" s="2" t="s">
        <v>33</v>
      </c>
      <c r="G8" s="2">
        <v>32</v>
      </c>
      <c r="H8" s="2" t="s">
        <v>8</v>
      </c>
      <c r="I8" s="2" t="s">
        <v>141</v>
      </c>
      <c r="J8" s="2" t="s">
        <v>34</v>
      </c>
      <c r="K8" s="2" t="s">
        <v>131</v>
      </c>
      <c r="L8" s="2" t="s">
        <v>35</v>
      </c>
      <c r="M8" s="2" t="str">
        <f t="shared" ref="M8:M55" si="0">IF(ISBLANK(L8),"Address not Available"," ")</f>
        <v xml:space="preserve"> </v>
      </c>
      <c r="N8" s="2">
        <v>4553</v>
      </c>
    </row>
    <row r="9" spans="5:14" x14ac:dyDescent="0.3">
      <c r="E9" s="2">
        <v>2</v>
      </c>
      <c r="F9" s="2" t="s">
        <v>36</v>
      </c>
      <c r="G9" s="2">
        <v>28</v>
      </c>
      <c r="H9" s="2" t="s">
        <v>12</v>
      </c>
      <c r="I9" s="2" t="s">
        <v>140</v>
      </c>
      <c r="J9" s="2" t="s">
        <v>37</v>
      </c>
      <c r="K9" s="2" t="s">
        <v>132</v>
      </c>
      <c r="L9" s="2" t="s">
        <v>38</v>
      </c>
      <c r="M9" s="2" t="str">
        <f t="shared" si="0"/>
        <v xml:space="preserve"> </v>
      </c>
      <c r="N9" s="2">
        <v>31169</v>
      </c>
    </row>
    <row r="10" spans="5:14" x14ac:dyDescent="0.3">
      <c r="E10" s="2">
        <v>3</v>
      </c>
      <c r="F10" s="2" t="s">
        <v>39</v>
      </c>
      <c r="G10" s="2">
        <v>27</v>
      </c>
      <c r="H10" s="2" t="s">
        <v>8</v>
      </c>
      <c r="I10" s="2" t="s">
        <v>158</v>
      </c>
      <c r="J10" s="2" t="s">
        <v>40</v>
      </c>
      <c r="K10" s="2" t="s">
        <v>133</v>
      </c>
      <c r="L10" s="2" t="s">
        <v>41</v>
      </c>
      <c r="M10" s="2" t="str">
        <f t="shared" si="0"/>
        <v xml:space="preserve"> </v>
      </c>
      <c r="N10" s="2">
        <v>11116</v>
      </c>
    </row>
    <row r="11" spans="5:14" x14ac:dyDescent="0.3">
      <c r="E11" s="2">
        <v>4</v>
      </c>
      <c r="F11" s="2" t="s">
        <v>42</v>
      </c>
      <c r="G11" s="2">
        <v>33</v>
      </c>
      <c r="H11" s="2" t="s">
        <v>12</v>
      </c>
      <c r="I11" s="2" t="s">
        <v>137</v>
      </c>
      <c r="J11" s="2" t="s">
        <v>43</v>
      </c>
      <c r="K11" s="2" t="s">
        <v>134</v>
      </c>
      <c r="L11" s="2" t="s">
        <v>44</v>
      </c>
      <c r="M11" s="2" t="str">
        <f t="shared" si="0"/>
        <v xml:space="preserve"> </v>
      </c>
      <c r="N11" s="2">
        <v>33457</v>
      </c>
    </row>
    <row r="12" spans="5:14" x14ac:dyDescent="0.3">
      <c r="E12" s="2">
        <v>5</v>
      </c>
      <c r="F12" s="2" t="str">
        <f>PROPER(SUBSTITUTE(LEFT(Table1[[#This Row],[Email]],FIND("@",Table1[[#This Row],[Email]],1)-1),"."," "))</f>
        <v>Jane Doe</v>
      </c>
      <c r="G12" s="2">
        <v>29</v>
      </c>
      <c r="H12" s="2" t="s">
        <v>12</v>
      </c>
      <c r="I12" s="2" t="s">
        <v>137</v>
      </c>
      <c r="J12" s="2" t="s">
        <v>45</v>
      </c>
      <c r="K12" s="2"/>
      <c r="L12" s="2"/>
      <c r="M12" s="2" t="str">
        <f t="shared" si="0"/>
        <v>Address not Available</v>
      </c>
      <c r="N12" s="2">
        <v>21918</v>
      </c>
    </row>
    <row r="13" spans="5:14" x14ac:dyDescent="0.3">
      <c r="E13" s="2">
        <v>6</v>
      </c>
      <c r="F13" s="2" t="s">
        <v>46</v>
      </c>
      <c r="G13" s="2">
        <v>34</v>
      </c>
      <c r="H13" s="2" t="s">
        <v>8</v>
      </c>
      <c r="I13" s="2" t="s">
        <v>159</v>
      </c>
      <c r="J13" s="6" t="s">
        <v>47</v>
      </c>
      <c r="K13" s="2"/>
      <c r="L13" s="2" t="s">
        <v>48</v>
      </c>
      <c r="M13" s="2" t="str">
        <f t="shared" si="0"/>
        <v xml:space="preserve"> </v>
      </c>
      <c r="N13" s="2">
        <v>33418</v>
      </c>
    </row>
    <row r="14" spans="5:14" x14ac:dyDescent="0.3">
      <c r="E14" s="2">
        <v>7</v>
      </c>
      <c r="F14" s="2" t="s">
        <v>49</v>
      </c>
      <c r="G14" s="2">
        <v>25</v>
      </c>
      <c r="H14" s="2" t="s">
        <v>12</v>
      </c>
      <c r="I14" s="2" t="s">
        <v>158</v>
      </c>
      <c r="J14" s="2" t="s">
        <v>157</v>
      </c>
      <c r="K14" s="2" t="s">
        <v>135</v>
      </c>
      <c r="L14" s="2" t="s">
        <v>50</v>
      </c>
      <c r="M14" s="2" t="str">
        <f t="shared" si="0"/>
        <v xml:space="preserve"> </v>
      </c>
      <c r="N14" s="2">
        <v>45828</v>
      </c>
    </row>
    <row r="15" spans="5:14" x14ac:dyDescent="0.3">
      <c r="E15" s="2">
        <v>8</v>
      </c>
      <c r="F15" s="2" t="s">
        <v>51</v>
      </c>
      <c r="G15" s="2">
        <v>31</v>
      </c>
      <c r="H15" s="2" t="s">
        <v>8</v>
      </c>
      <c r="I15" s="2" t="s">
        <v>137</v>
      </c>
      <c r="J15" s="6" t="s">
        <v>52</v>
      </c>
      <c r="K15" s="2" t="str">
        <f>"91"&amp;-8888888888</f>
        <v>91-8888888888</v>
      </c>
      <c r="L15" s="2"/>
      <c r="M15" s="2" t="str">
        <f t="shared" si="0"/>
        <v>Address not Available</v>
      </c>
      <c r="N15" s="2">
        <v>45450</v>
      </c>
    </row>
    <row r="16" spans="5:14" x14ac:dyDescent="0.3">
      <c r="E16" s="2">
        <v>9</v>
      </c>
      <c r="F16" s="2" t="s">
        <v>53</v>
      </c>
      <c r="G16" s="2">
        <v>27</v>
      </c>
      <c r="H16" s="2" t="s">
        <v>12</v>
      </c>
      <c r="I16" s="2" t="s">
        <v>137</v>
      </c>
      <c r="J16" s="2" t="s">
        <v>54</v>
      </c>
      <c r="K16" s="7" t="s">
        <v>164</v>
      </c>
      <c r="L16" s="2" t="s">
        <v>55</v>
      </c>
      <c r="M16" s="2" t="str">
        <f t="shared" si="0"/>
        <v xml:space="preserve"> </v>
      </c>
      <c r="N16" s="2">
        <v>49938</v>
      </c>
    </row>
    <row r="17" spans="5:14" x14ac:dyDescent="0.3">
      <c r="E17" s="2">
        <v>10</v>
      </c>
      <c r="F17" s="2" t="str">
        <f>PROPER(SUBSTITUTE(LEFT(Table1[[#This Row],[Email]],FIND("@",Table1[[#This Row],[Email]],1)-1),"."," "))</f>
        <v>Naveen Sharma</v>
      </c>
      <c r="G17" s="2">
        <v>35</v>
      </c>
      <c r="H17" s="2" t="s">
        <v>8</v>
      </c>
      <c r="I17" s="2" t="s">
        <v>139</v>
      </c>
      <c r="J17" s="2" t="s">
        <v>56</v>
      </c>
      <c r="K17" s="7"/>
      <c r="L17" s="2" t="s">
        <v>57</v>
      </c>
      <c r="M17" s="2" t="str">
        <f t="shared" si="0"/>
        <v xml:space="preserve"> </v>
      </c>
      <c r="N17" s="2">
        <v>9818</v>
      </c>
    </row>
    <row r="18" spans="5:14" x14ac:dyDescent="0.3">
      <c r="E18" s="2">
        <v>11</v>
      </c>
      <c r="F18" s="2" t="s">
        <v>58</v>
      </c>
      <c r="G18" s="2">
        <v>29.5</v>
      </c>
      <c r="H18" s="2" t="s">
        <v>12</v>
      </c>
      <c r="I18" s="2" t="s">
        <v>140</v>
      </c>
      <c r="J18" s="2" t="s">
        <v>59</v>
      </c>
      <c r="K18" s="7" t="s">
        <v>165</v>
      </c>
      <c r="L18" s="2" t="s">
        <v>60</v>
      </c>
      <c r="M18" s="2" t="str">
        <f t="shared" si="0"/>
        <v xml:space="preserve"> </v>
      </c>
      <c r="N18" s="2">
        <v>41836</v>
      </c>
    </row>
    <row r="19" spans="5:14" x14ac:dyDescent="0.3">
      <c r="E19" s="2">
        <v>12</v>
      </c>
      <c r="F19" s="2" t="s">
        <v>61</v>
      </c>
      <c r="G19" s="2">
        <v>29</v>
      </c>
      <c r="H19" s="2" t="s">
        <v>8</v>
      </c>
      <c r="I19" s="2" t="s">
        <v>140</v>
      </c>
      <c r="J19" s="2" t="s">
        <v>62</v>
      </c>
      <c r="K19" s="7" t="s">
        <v>166</v>
      </c>
      <c r="L19" s="2" t="s">
        <v>63</v>
      </c>
      <c r="M19" s="2" t="str">
        <f t="shared" si="0"/>
        <v xml:space="preserve"> </v>
      </c>
      <c r="N19" s="2">
        <v>11901</v>
      </c>
    </row>
    <row r="20" spans="5:14" x14ac:dyDescent="0.3">
      <c r="E20" s="2">
        <v>14</v>
      </c>
      <c r="F20" s="2" t="s">
        <v>64</v>
      </c>
      <c r="G20" s="2">
        <v>28</v>
      </c>
      <c r="H20" s="2" t="s">
        <v>12</v>
      </c>
      <c r="I20" s="2" t="s">
        <v>141</v>
      </c>
      <c r="J20" s="2" t="s">
        <v>65</v>
      </c>
      <c r="K20" s="7"/>
      <c r="L20" s="2" t="s">
        <v>66</v>
      </c>
      <c r="M20" s="2" t="str">
        <f t="shared" si="0"/>
        <v xml:space="preserve"> </v>
      </c>
      <c r="N20" s="2">
        <v>21978</v>
      </c>
    </row>
    <row r="21" spans="5:14" x14ac:dyDescent="0.3">
      <c r="E21" s="2">
        <v>15</v>
      </c>
      <c r="F21" s="2" t="str">
        <f>PROPER(SUBSTITUTE(LEFT(Table1[[#This Row],[Email]],FIND("@",Table1[[#This Row],[Email]],1)-1),"."," "))</f>
        <v>Kavita Sharma</v>
      </c>
      <c r="G21" s="2">
        <v>30</v>
      </c>
      <c r="H21" s="2" t="s">
        <v>12</v>
      </c>
      <c r="I21" s="2" t="s">
        <v>142</v>
      </c>
      <c r="J21" s="2" t="s">
        <v>67</v>
      </c>
      <c r="K21" s="7" t="s">
        <v>167</v>
      </c>
      <c r="L21" s="2"/>
      <c r="M21" s="2" t="str">
        <f t="shared" si="0"/>
        <v>Address not Available</v>
      </c>
      <c r="N21" s="2">
        <v>49400</v>
      </c>
    </row>
    <row r="22" spans="5:14" x14ac:dyDescent="0.3">
      <c r="E22" s="2">
        <v>16</v>
      </c>
      <c r="F22" s="2" t="s">
        <v>68</v>
      </c>
      <c r="G22" s="2">
        <v>32</v>
      </c>
      <c r="H22" s="2" t="s">
        <v>8</v>
      </c>
      <c r="I22" s="2" t="s">
        <v>143</v>
      </c>
      <c r="J22" s="2" t="s">
        <v>69</v>
      </c>
      <c r="K22" s="7" t="s">
        <v>168</v>
      </c>
      <c r="L22" s="2" t="s">
        <v>70</v>
      </c>
      <c r="M22" s="2" t="str">
        <f t="shared" si="0"/>
        <v xml:space="preserve"> </v>
      </c>
      <c r="N22" s="2">
        <v>28476</v>
      </c>
    </row>
    <row r="23" spans="5:14" x14ac:dyDescent="0.3">
      <c r="E23" s="2">
        <v>17</v>
      </c>
      <c r="F23" s="2" t="s">
        <v>71</v>
      </c>
      <c r="G23" s="2">
        <v>26</v>
      </c>
      <c r="H23" s="2" t="s">
        <v>12</v>
      </c>
      <c r="I23" s="2" t="s">
        <v>159</v>
      </c>
      <c r="J23" s="2" t="s">
        <v>72</v>
      </c>
      <c r="K23" s="7" t="s">
        <v>169</v>
      </c>
      <c r="L23" s="2"/>
      <c r="M23" s="2" t="str">
        <f t="shared" si="0"/>
        <v>Address not Available</v>
      </c>
      <c r="N23" s="2">
        <v>40088</v>
      </c>
    </row>
    <row r="24" spans="5:14" x14ac:dyDescent="0.3">
      <c r="E24" s="2">
        <v>18</v>
      </c>
      <c r="F24" s="2" t="s">
        <v>7</v>
      </c>
      <c r="G24" s="2">
        <v>28</v>
      </c>
      <c r="H24" s="2" t="s">
        <v>8</v>
      </c>
      <c r="I24" s="2" t="s">
        <v>159</v>
      </c>
      <c r="J24" s="2" t="s">
        <v>9</v>
      </c>
      <c r="K24" s="7" t="s">
        <v>170</v>
      </c>
      <c r="L24" s="2" t="s">
        <v>10</v>
      </c>
      <c r="M24" s="2" t="str">
        <f t="shared" si="0"/>
        <v xml:space="preserve"> </v>
      </c>
      <c r="N24" s="2">
        <v>2949</v>
      </c>
    </row>
    <row r="25" spans="5:14" x14ac:dyDescent="0.3">
      <c r="E25" s="2">
        <v>19</v>
      </c>
      <c r="F25" s="2" t="s">
        <v>11</v>
      </c>
      <c r="G25" s="2">
        <v>30</v>
      </c>
      <c r="H25" s="2" t="s">
        <v>12</v>
      </c>
      <c r="I25" s="2" t="s">
        <v>159</v>
      </c>
      <c r="J25" s="2" t="s">
        <v>13</v>
      </c>
      <c r="K25" s="7" t="s">
        <v>166</v>
      </c>
      <c r="L25" s="2" t="s">
        <v>14</v>
      </c>
      <c r="M25" s="2" t="str">
        <f t="shared" si="0"/>
        <v xml:space="preserve"> </v>
      </c>
      <c r="N25" s="2">
        <v>3337</v>
      </c>
    </row>
    <row r="26" spans="5:14" x14ac:dyDescent="0.3">
      <c r="E26" s="2">
        <v>20</v>
      </c>
      <c r="F26" s="2" t="str">
        <f>PROPER(SUBSTITUTE(LEFT(Table1[[#This Row],[Email]],FIND("@",Table1[[#This Row],[Email]],1)-1),"."," "))</f>
        <v>Vikas Joshi</v>
      </c>
      <c r="G26" s="2">
        <v>32</v>
      </c>
      <c r="H26" s="2" t="s">
        <v>8</v>
      </c>
      <c r="I26" s="2" t="s">
        <v>142</v>
      </c>
      <c r="J26" s="2" t="s">
        <v>15</v>
      </c>
      <c r="K26" s="7" t="s">
        <v>171</v>
      </c>
      <c r="L26" s="2"/>
      <c r="M26" s="2" t="str">
        <f t="shared" si="0"/>
        <v>Address not Available</v>
      </c>
      <c r="N26" s="2">
        <v>2857</v>
      </c>
    </row>
    <row r="27" spans="5:14" x14ac:dyDescent="0.3">
      <c r="E27" s="2">
        <v>21</v>
      </c>
      <c r="F27" s="2" t="s">
        <v>16</v>
      </c>
      <c r="G27" s="2">
        <v>26</v>
      </c>
      <c r="H27" s="2" t="s">
        <v>12</v>
      </c>
      <c r="I27" s="2" t="s">
        <v>143</v>
      </c>
      <c r="J27" s="2" t="s">
        <v>17</v>
      </c>
      <c r="K27" s="7"/>
      <c r="L27" s="2" t="s">
        <v>18</v>
      </c>
      <c r="M27" s="2" t="str">
        <f t="shared" si="0"/>
        <v xml:space="preserve"> </v>
      </c>
      <c r="N27" s="2">
        <v>35969</v>
      </c>
    </row>
    <row r="28" spans="5:14" x14ac:dyDescent="0.3">
      <c r="E28" s="2">
        <v>22</v>
      </c>
      <c r="F28" s="2" t="s">
        <v>19</v>
      </c>
      <c r="G28" s="2">
        <v>33</v>
      </c>
      <c r="H28" s="2" t="s">
        <v>8</v>
      </c>
      <c r="I28" s="2" t="s">
        <v>159</v>
      </c>
      <c r="J28" s="2" t="s">
        <v>20</v>
      </c>
      <c r="K28" s="7" t="s">
        <v>167</v>
      </c>
      <c r="L28" s="2" t="s">
        <v>21</v>
      </c>
      <c r="M28" s="2" t="str">
        <f t="shared" si="0"/>
        <v xml:space="preserve"> </v>
      </c>
      <c r="N28" s="2">
        <v>49681</v>
      </c>
    </row>
    <row r="29" spans="5:14" x14ac:dyDescent="0.3">
      <c r="E29" s="2">
        <v>24</v>
      </c>
      <c r="F29" s="2" t="s">
        <v>22</v>
      </c>
      <c r="G29" s="2">
        <v>29</v>
      </c>
      <c r="H29" s="2" t="s">
        <v>8</v>
      </c>
      <c r="I29" s="2" t="s">
        <v>139</v>
      </c>
      <c r="J29" s="2" t="s">
        <v>23</v>
      </c>
      <c r="K29" s="7" t="s">
        <v>172</v>
      </c>
      <c r="L29" s="2"/>
      <c r="M29" s="2" t="str">
        <f t="shared" si="0"/>
        <v>Address not Available</v>
      </c>
      <c r="N29" s="2">
        <v>15853</v>
      </c>
    </row>
    <row r="30" spans="5:14" x14ac:dyDescent="0.3">
      <c r="E30" s="2">
        <v>25</v>
      </c>
      <c r="F30" s="2" t="s">
        <v>24</v>
      </c>
      <c r="G30" s="2">
        <v>29.5</v>
      </c>
      <c r="H30" s="2" t="s">
        <v>12</v>
      </c>
      <c r="I30" s="2" t="s">
        <v>140</v>
      </c>
      <c r="J30" s="2" t="s">
        <v>25</v>
      </c>
      <c r="K30" s="7" t="s">
        <v>166</v>
      </c>
      <c r="L30" s="2" t="s">
        <v>26</v>
      </c>
      <c r="M30" s="2" t="str">
        <f t="shared" si="0"/>
        <v xml:space="preserve"> </v>
      </c>
      <c r="N30" s="2">
        <v>6926</v>
      </c>
    </row>
    <row r="31" spans="5:14" x14ac:dyDescent="0.3">
      <c r="E31" s="2">
        <v>26</v>
      </c>
      <c r="F31" s="2" t="s">
        <v>27</v>
      </c>
      <c r="G31" s="2">
        <v>31</v>
      </c>
      <c r="H31" s="2" t="s">
        <v>8</v>
      </c>
      <c r="I31" s="2" t="s">
        <v>142</v>
      </c>
      <c r="J31" s="2" t="s">
        <v>28</v>
      </c>
      <c r="K31" s="7"/>
      <c r="L31" s="2" t="s">
        <v>29</v>
      </c>
      <c r="M31" s="2" t="str">
        <f t="shared" si="0"/>
        <v xml:space="preserve"> </v>
      </c>
      <c r="N31" s="2">
        <v>45678</v>
      </c>
    </row>
    <row r="32" spans="5:14" x14ac:dyDescent="0.3">
      <c r="E32" s="2">
        <v>27</v>
      </c>
      <c r="F32" s="2" t="s">
        <v>30</v>
      </c>
      <c r="G32" s="2">
        <v>28</v>
      </c>
      <c r="H32" s="2" t="s">
        <v>12</v>
      </c>
      <c r="I32" s="2" t="s">
        <v>143</v>
      </c>
      <c r="J32" s="2" t="s">
        <v>31</v>
      </c>
      <c r="K32" s="7" t="s">
        <v>164</v>
      </c>
      <c r="L32" s="2" t="s">
        <v>32</v>
      </c>
      <c r="M32" s="2" t="str">
        <f t="shared" si="0"/>
        <v xml:space="preserve"> </v>
      </c>
      <c r="N32" s="2">
        <v>8022</v>
      </c>
    </row>
    <row r="33" spans="5:14" x14ac:dyDescent="0.3">
      <c r="E33" s="2">
        <v>28</v>
      </c>
      <c r="F33" s="2" t="s">
        <v>73</v>
      </c>
      <c r="G33" s="2">
        <v>34</v>
      </c>
      <c r="H33" s="2" t="s">
        <v>8</v>
      </c>
      <c r="I33" s="2" t="s">
        <v>159</v>
      </c>
      <c r="J33" s="2" t="s">
        <v>74</v>
      </c>
      <c r="K33" s="7" t="s">
        <v>167</v>
      </c>
      <c r="L33" s="2" t="s">
        <v>75</v>
      </c>
      <c r="M33" s="2" t="str">
        <f t="shared" si="0"/>
        <v xml:space="preserve"> </v>
      </c>
      <c r="N33" s="2">
        <v>3484</v>
      </c>
    </row>
    <row r="34" spans="5:14" x14ac:dyDescent="0.3">
      <c r="E34" s="2">
        <v>29</v>
      </c>
      <c r="F34" s="2" t="s">
        <v>160</v>
      </c>
      <c r="G34" s="2">
        <v>26</v>
      </c>
      <c r="H34" s="2" t="s">
        <v>12</v>
      </c>
      <c r="I34" s="2" t="s">
        <v>158</v>
      </c>
      <c r="J34" s="2" t="s">
        <v>161</v>
      </c>
      <c r="K34" s="7" t="s">
        <v>164</v>
      </c>
      <c r="L34" s="2" t="s">
        <v>76</v>
      </c>
      <c r="M34" s="2" t="str">
        <f t="shared" si="0"/>
        <v xml:space="preserve"> </v>
      </c>
      <c r="N34" s="2">
        <v>11342</v>
      </c>
    </row>
    <row r="35" spans="5:14" x14ac:dyDescent="0.3">
      <c r="E35" s="2">
        <v>30</v>
      </c>
      <c r="F35" s="2" t="str">
        <f>PROPER(SUBSTITUTE(LEFT(Table1[[#This Row],[Email]],FIND("@",Table1[[#This Row],[Email]],1)-1),"."," "))</f>
        <v>Ankit Singh</v>
      </c>
      <c r="G35" s="2">
        <v>29</v>
      </c>
      <c r="H35" s="2" t="s">
        <v>8</v>
      </c>
      <c r="I35" s="2" t="s">
        <v>137</v>
      </c>
      <c r="J35" s="2" t="s">
        <v>77</v>
      </c>
      <c r="K35" s="7"/>
      <c r="L35" s="2" t="s">
        <v>78</v>
      </c>
      <c r="M35" s="2" t="str">
        <f t="shared" si="0"/>
        <v xml:space="preserve"> </v>
      </c>
      <c r="N35" s="2">
        <v>40940</v>
      </c>
    </row>
    <row r="36" spans="5:14" x14ac:dyDescent="0.3">
      <c r="E36" s="2">
        <v>31</v>
      </c>
      <c r="F36" s="2" t="s">
        <v>53</v>
      </c>
      <c r="G36" s="2">
        <v>27</v>
      </c>
      <c r="H36" s="2" t="s">
        <v>12</v>
      </c>
      <c r="I36" s="2" t="s">
        <v>137</v>
      </c>
      <c r="J36" s="2" t="s">
        <v>79</v>
      </c>
      <c r="K36" s="7" t="s">
        <v>166</v>
      </c>
      <c r="L36" s="2"/>
      <c r="M36" s="2" t="str">
        <f t="shared" si="0"/>
        <v>Address not Available</v>
      </c>
      <c r="N36" s="2">
        <v>41841</v>
      </c>
    </row>
    <row r="37" spans="5:14" x14ac:dyDescent="0.3">
      <c r="E37" s="2">
        <v>32</v>
      </c>
      <c r="F37" s="2" t="s">
        <v>80</v>
      </c>
      <c r="G37" s="2">
        <v>32</v>
      </c>
      <c r="H37" s="2" t="s">
        <v>8</v>
      </c>
      <c r="I37" s="2" t="s">
        <v>142</v>
      </c>
      <c r="J37" s="2" t="s">
        <v>81</v>
      </c>
      <c r="K37" s="7"/>
      <c r="L37" s="2" t="s">
        <v>82</v>
      </c>
      <c r="M37" s="2" t="str">
        <f t="shared" si="0"/>
        <v xml:space="preserve"> </v>
      </c>
      <c r="N37" s="2">
        <v>39835</v>
      </c>
    </row>
    <row r="38" spans="5:14" x14ac:dyDescent="0.3">
      <c r="E38" s="2">
        <v>33</v>
      </c>
      <c r="F38" s="2" t="str">
        <f>PROPER(SUBSTITUTE(LEFT(Table1[[#This Row],[Email]],FIND("@",Table1[[#This Row],[Email]],1)-1),"."," "))</f>
        <v>Sarika Patel</v>
      </c>
      <c r="G38" s="2">
        <v>33</v>
      </c>
      <c r="H38" s="2" t="s">
        <v>12</v>
      </c>
      <c r="I38" s="2" t="s">
        <v>143</v>
      </c>
      <c r="J38" s="2" t="s">
        <v>83</v>
      </c>
      <c r="K38" s="7" t="s">
        <v>165</v>
      </c>
      <c r="L38" s="2" t="s">
        <v>84</v>
      </c>
      <c r="M38" s="2" t="str">
        <f t="shared" si="0"/>
        <v xml:space="preserve"> </v>
      </c>
      <c r="N38" s="2">
        <v>9577</v>
      </c>
    </row>
    <row r="39" spans="5:14" x14ac:dyDescent="0.3">
      <c r="E39" s="2">
        <v>34</v>
      </c>
      <c r="F39" s="2" t="s">
        <v>85</v>
      </c>
      <c r="G39" s="2">
        <v>30</v>
      </c>
      <c r="H39" s="2" t="s">
        <v>8</v>
      </c>
      <c r="I39" s="2" t="s">
        <v>159</v>
      </c>
      <c r="J39" s="2" t="s">
        <v>86</v>
      </c>
      <c r="K39" s="7"/>
      <c r="L39" s="2" t="s">
        <v>87</v>
      </c>
      <c r="M39" s="2" t="str">
        <f t="shared" si="0"/>
        <v xml:space="preserve"> </v>
      </c>
      <c r="N39" s="2">
        <v>29480</v>
      </c>
    </row>
    <row r="40" spans="5:14" x14ac:dyDescent="0.3">
      <c r="E40" s="2">
        <v>35</v>
      </c>
      <c r="F40" s="2" t="s">
        <v>88</v>
      </c>
      <c r="G40" s="2">
        <v>29.5</v>
      </c>
      <c r="H40" s="2" t="s">
        <v>12</v>
      </c>
      <c r="I40" s="2" t="s">
        <v>158</v>
      </c>
      <c r="J40" s="2" t="s">
        <v>89</v>
      </c>
      <c r="K40" s="7" t="s">
        <v>166</v>
      </c>
      <c r="L40" s="2" t="s">
        <v>90</v>
      </c>
      <c r="M40" s="2" t="str">
        <f t="shared" si="0"/>
        <v xml:space="preserve"> </v>
      </c>
      <c r="N40" s="2">
        <v>14254</v>
      </c>
    </row>
    <row r="41" spans="5:14" x14ac:dyDescent="0.3">
      <c r="E41" s="2">
        <v>36</v>
      </c>
      <c r="F41" s="2" t="s">
        <v>91</v>
      </c>
      <c r="G41" s="2">
        <v>29</v>
      </c>
      <c r="H41" s="2" t="s">
        <v>8</v>
      </c>
      <c r="I41" s="2" t="s">
        <v>137</v>
      </c>
      <c r="J41" s="2" t="s">
        <v>92</v>
      </c>
      <c r="K41" s="7" t="s">
        <v>164</v>
      </c>
      <c r="L41" s="2" t="s">
        <v>93</v>
      </c>
      <c r="M41" s="2" t="str">
        <f t="shared" si="0"/>
        <v xml:space="preserve"> </v>
      </c>
      <c r="N41" s="2">
        <v>37358</v>
      </c>
    </row>
    <row r="42" spans="5:14" x14ac:dyDescent="0.3">
      <c r="E42" s="2">
        <v>37</v>
      </c>
      <c r="F42" s="2" t="str">
        <f>PROPER(SUBSTITUTE(LEFT(Table1[[#This Row],[Email]],FIND("@",Table1[[#This Row],[Email]],1)-1),"."," "))</f>
        <v>Payal Sharma</v>
      </c>
      <c r="G42" s="2">
        <v>31</v>
      </c>
      <c r="H42" s="2" t="s">
        <v>12</v>
      </c>
      <c r="I42" s="2" t="s">
        <v>137</v>
      </c>
      <c r="J42" s="2" t="s">
        <v>94</v>
      </c>
      <c r="K42" s="7"/>
      <c r="L42" s="2" t="s">
        <v>95</v>
      </c>
      <c r="M42" s="2" t="str">
        <f t="shared" si="0"/>
        <v xml:space="preserve"> </v>
      </c>
      <c r="N42" s="2">
        <v>48367</v>
      </c>
    </row>
    <row r="43" spans="5:14" x14ac:dyDescent="0.3">
      <c r="E43" s="2">
        <v>38</v>
      </c>
      <c r="F43" s="2" t="s">
        <v>96</v>
      </c>
      <c r="G43" s="2">
        <v>28</v>
      </c>
      <c r="H43" s="2" t="s">
        <v>8</v>
      </c>
      <c r="I43" s="2" t="s">
        <v>141</v>
      </c>
      <c r="J43" s="2" t="s">
        <v>97</v>
      </c>
      <c r="K43" s="7" t="s">
        <v>167</v>
      </c>
      <c r="L43" s="2" t="s">
        <v>98</v>
      </c>
      <c r="M43" s="2" t="str">
        <f t="shared" si="0"/>
        <v xml:space="preserve"> </v>
      </c>
      <c r="N43" s="2">
        <v>37473</v>
      </c>
    </row>
    <row r="44" spans="5:14" x14ac:dyDescent="0.3">
      <c r="E44" s="2">
        <v>39</v>
      </c>
      <c r="F44" s="2" t="s">
        <v>99</v>
      </c>
      <c r="G44" s="2">
        <v>33</v>
      </c>
      <c r="H44" s="2" t="s">
        <v>12</v>
      </c>
      <c r="I44" s="2" t="s">
        <v>141</v>
      </c>
      <c r="J44" s="2" t="s">
        <v>100</v>
      </c>
      <c r="K44" s="7" t="s">
        <v>171</v>
      </c>
      <c r="L44" s="2" t="s">
        <v>101</v>
      </c>
      <c r="M44" s="2" t="str">
        <f t="shared" si="0"/>
        <v xml:space="preserve"> </v>
      </c>
      <c r="N44" s="2">
        <v>30628</v>
      </c>
    </row>
    <row r="45" spans="5:14" x14ac:dyDescent="0.3">
      <c r="E45" s="2">
        <v>40</v>
      </c>
      <c r="F45" s="2" t="s">
        <v>102</v>
      </c>
      <c r="G45" s="2">
        <v>30</v>
      </c>
      <c r="H45" s="2" t="s">
        <v>8</v>
      </c>
      <c r="I45" s="2" t="s">
        <v>138</v>
      </c>
      <c r="J45" s="2" t="s">
        <v>103</v>
      </c>
      <c r="K45" s="7"/>
      <c r="L45" s="2" t="s">
        <v>104</v>
      </c>
      <c r="M45" s="2" t="str">
        <f t="shared" si="0"/>
        <v xml:space="preserve"> </v>
      </c>
      <c r="N45" s="2">
        <v>22018</v>
      </c>
    </row>
    <row r="46" spans="5:14" x14ac:dyDescent="0.3">
      <c r="E46" s="2">
        <v>41</v>
      </c>
      <c r="F46" s="2" t="s">
        <v>162</v>
      </c>
      <c r="G46" s="2">
        <v>27</v>
      </c>
      <c r="H46" s="2" t="s">
        <v>12</v>
      </c>
      <c r="I46" s="2" t="s">
        <v>159</v>
      </c>
      <c r="J46" s="2" t="s">
        <v>163</v>
      </c>
      <c r="K46" s="7" t="s">
        <v>164</v>
      </c>
      <c r="L46" s="2" t="s">
        <v>105</v>
      </c>
      <c r="M46" s="2" t="str">
        <f t="shared" si="0"/>
        <v xml:space="preserve"> </v>
      </c>
      <c r="N46" s="2">
        <v>35747</v>
      </c>
    </row>
    <row r="47" spans="5:14" x14ac:dyDescent="0.3">
      <c r="E47" s="2">
        <v>42</v>
      </c>
      <c r="F47" s="2" t="s">
        <v>106</v>
      </c>
      <c r="G47" s="2">
        <v>29</v>
      </c>
      <c r="H47" s="2" t="s">
        <v>8</v>
      </c>
      <c r="I47" s="2" t="s">
        <v>137</v>
      </c>
      <c r="J47" s="2" t="s">
        <v>107</v>
      </c>
      <c r="K47" s="7"/>
      <c r="L47" s="2" t="s">
        <v>108</v>
      </c>
      <c r="M47" s="2" t="str">
        <f t="shared" si="0"/>
        <v xml:space="preserve"> </v>
      </c>
      <c r="N47" s="2">
        <v>32258</v>
      </c>
    </row>
    <row r="48" spans="5:14" x14ac:dyDescent="0.3">
      <c r="E48" s="2">
        <v>43</v>
      </c>
      <c r="F48" s="2" t="s">
        <v>109</v>
      </c>
      <c r="G48" s="2">
        <v>26</v>
      </c>
      <c r="H48" s="2" t="s">
        <v>12</v>
      </c>
      <c r="I48" s="2" t="s">
        <v>142</v>
      </c>
      <c r="J48" s="2" t="s">
        <v>110</v>
      </c>
      <c r="K48" s="7" t="s">
        <v>166</v>
      </c>
      <c r="L48" s="2" t="s">
        <v>111</v>
      </c>
      <c r="M48" s="2" t="str">
        <f t="shared" si="0"/>
        <v xml:space="preserve"> </v>
      </c>
      <c r="N48" s="2">
        <v>31047</v>
      </c>
    </row>
    <row r="49" spans="5:14" x14ac:dyDescent="0.3">
      <c r="E49" s="2">
        <v>44</v>
      </c>
      <c r="F49" s="2" t="str">
        <f>PROPER(SUBSTITUTE(LEFT(Table1[[#This Row],[Email]],FIND("@",Table1[[#This Row],[Email]],1)-1),"."," "))</f>
        <v>Mukesh Sharma</v>
      </c>
      <c r="G49" s="2">
        <v>28</v>
      </c>
      <c r="H49" s="2" t="s">
        <v>8</v>
      </c>
      <c r="I49" s="2" t="s">
        <v>143</v>
      </c>
      <c r="J49" s="2" t="s">
        <v>112</v>
      </c>
      <c r="K49" s="7"/>
      <c r="L49" s="2" t="s">
        <v>113</v>
      </c>
      <c r="M49" s="2" t="str">
        <f t="shared" si="0"/>
        <v xml:space="preserve"> </v>
      </c>
      <c r="N49" s="2">
        <v>31064</v>
      </c>
    </row>
    <row r="50" spans="5:14" x14ac:dyDescent="0.3">
      <c r="E50" s="2">
        <v>45</v>
      </c>
      <c r="F50" s="2" t="s">
        <v>114</v>
      </c>
      <c r="G50" s="2">
        <v>31</v>
      </c>
      <c r="H50" s="2" t="s">
        <v>8</v>
      </c>
      <c r="I50" s="2" t="s">
        <v>159</v>
      </c>
      <c r="J50" s="2" t="s">
        <v>115</v>
      </c>
      <c r="K50" s="7" t="s">
        <v>167</v>
      </c>
      <c r="L50" s="2"/>
      <c r="M50" s="2" t="str">
        <f t="shared" si="0"/>
        <v>Address not Available</v>
      </c>
      <c r="N50" s="2">
        <v>3108</v>
      </c>
    </row>
    <row r="51" spans="5:14" x14ac:dyDescent="0.3">
      <c r="E51" s="2">
        <v>46</v>
      </c>
      <c r="F51" s="2" t="s">
        <v>116</v>
      </c>
      <c r="G51" s="2">
        <v>27</v>
      </c>
      <c r="H51" s="2" t="s">
        <v>12</v>
      </c>
      <c r="I51" s="2" t="s">
        <v>141</v>
      </c>
      <c r="J51" s="2" t="s">
        <v>117</v>
      </c>
      <c r="K51" s="7" t="s">
        <v>164</v>
      </c>
      <c r="L51" s="2" t="s">
        <v>118</v>
      </c>
      <c r="M51" s="2" t="str">
        <f t="shared" si="0"/>
        <v xml:space="preserve"> </v>
      </c>
      <c r="N51" s="2">
        <v>20205</v>
      </c>
    </row>
    <row r="52" spans="5:14" x14ac:dyDescent="0.3">
      <c r="E52" s="2">
        <v>47</v>
      </c>
      <c r="F52" s="2" t="str">
        <f>PROPER(SUBSTITUTE(LEFT(Table1[[#This Row],[Email]],FIND("@",Table1[[#This Row],[Email]],1)-1),"."," "))</f>
        <v>Gaurav Kumar</v>
      </c>
      <c r="G52" s="2">
        <v>29</v>
      </c>
      <c r="H52" s="2" t="s">
        <v>8</v>
      </c>
      <c r="I52" s="2" t="s">
        <v>141</v>
      </c>
      <c r="J52" s="2" t="s">
        <v>119</v>
      </c>
      <c r="K52" s="7"/>
      <c r="L52" s="2" t="s">
        <v>120</v>
      </c>
      <c r="M52" s="2" t="str">
        <f t="shared" si="0"/>
        <v xml:space="preserve"> </v>
      </c>
      <c r="N52" s="2">
        <v>8746</v>
      </c>
    </row>
    <row r="53" spans="5:14" x14ac:dyDescent="0.3">
      <c r="E53" s="2">
        <v>48</v>
      </c>
      <c r="F53" s="2" t="s">
        <v>121</v>
      </c>
      <c r="G53" s="2">
        <v>32</v>
      </c>
      <c r="H53" s="2" t="s">
        <v>12</v>
      </c>
      <c r="I53" s="2" t="s">
        <v>158</v>
      </c>
      <c r="J53" s="2" t="s">
        <v>122</v>
      </c>
      <c r="K53" s="7" t="s">
        <v>165</v>
      </c>
      <c r="L53" s="2" t="s">
        <v>123</v>
      </c>
      <c r="M53" s="2" t="str">
        <f t="shared" si="0"/>
        <v xml:space="preserve"> </v>
      </c>
      <c r="N53" s="2">
        <v>15531</v>
      </c>
    </row>
    <row r="54" spans="5:14" x14ac:dyDescent="0.3">
      <c r="E54" s="2">
        <v>49</v>
      </c>
      <c r="F54" s="2" t="s">
        <v>124</v>
      </c>
      <c r="G54" s="2">
        <v>29.5</v>
      </c>
      <c r="H54" s="2" t="s">
        <v>8</v>
      </c>
      <c r="I54" s="2" t="s">
        <v>137</v>
      </c>
      <c r="J54" s="2" t="s">
        <v>125</v>
      </c>
      <c r="K54" s="7" t="s">
        <v>166</v>
      </c>
      <c r="L54" s="2" t="s">
        <v>126</v>
      </c>
      <c r="M54" s="2" t="str">
        <f t="shared" si="0"/>
        <v xml:space="preserve"> </v>
      </c>
      <c r="N54" s="2">
        <v>23055</v>
      </c>
    </row>
    <row r="55" spans="5:14" x14ac:dyDescent="0.3">
      <c r="E55" s="2">
        <v>50</v>
      </c>
      <c r="F55" s="2" t="s">
        <v>127</v>
      </c>
      <c r="G55" s="2">
        <v>30</v>
      </c>
      <c r="H55" s="2" t="s">
        <v>12</v>
      </c>
      <c r="I55" s="2" t="s">
        <v>137</v>
      </c>
      <c r="J55" s="2" t="s">
        <v>128</v>
      </c>
      <c r="K55" s="7"/>
      <c r="L55" s="2" t="s">
        <v>129</v>
      </c>
      <c r="M55" s="2" t="str">
        <f t="shared" si="0"/>
        <v xml:space="preserve"> </v>
      </c>
      <c r="N55" s="2">
        <v>18647</v>
      </c>
    </row>
    <row r="61" spans="5:14" ht="15" thickBot="1" x14ac:dyDescent="0.35"/>
    <row r="62" spans="5:14" x14ac:dyDescent="0.3">
      <c r="F62" s="5" t="s">
        <v>2</v>
      </c>
      <c r="G62" s="5"/>
    </row>
    <row r="63" spans="5:14" x14ac:dyDescent="0.3">
      <c r="F63" s="3"/>
      <c r="G63" s="3"/>
    </row>
    <row r="64" spans="5:14" x14ac:dyDescent="0.3">
      <c r="F64" s="3" t="s">
        <v>144</v>
      </c>
      <c r="G64" s="3">
        <v>29.5</v>
      </c>
    </row>
    <row r="65" spans="6:7" x14ac:dyDescent="0.3">
      <c r="F65" s="3" t="s">
        <v>145</v>
      </c>
      <c r="G65" s="3">
        <v>0.37782750454196135</v>
      </c>
    </row>
    <row r="66" spans="6:7" x14ac:dyDescent="0.3">
      <c r="F66" s="3" t="s">
        <v>146</v>
      </c>
      <c r="G66" s="3">
        <v>29</v>
      </c>
    </row>
    <row r="67" spans="6:7" x14ac:dyDescent="0.3">
      <c r="F67" s="3" t="s">
        <v>147</v>
      </c>
      <c r="G67" s="3">
        <v>29</v>
      </c>
    </row>
    <row r="68" spans="6:7" x14ac:dyDescent="0.3">
      <c r="F68" s="3" t="s">
        <v>148</v>
      </c>
      <c r="G68" s="3">
        <v>2.5625508125043428</v>
      </c>
    </row>
    <row r="69" spans="6:7" x14ac:dyDescent="0.3">
      <c r="F69" s="3" t="s">
        <v>149</v>
      </c>
      <c r="G69" s="3">
        <v>6.5666666666666664</v>
      </c>
    </row>
    <row r="70" spans="6:7" x14ac:dyDescent="0.3">
      <c r="F70" s="3" t="s">
        <v>150</v>
      </c>
      <c r="G70" s="3">
        <v>-0.868957239872163</v>
      </c>
    </row>
    <row r="71" spans="6:7" x14ac:dyDescent="0.3">
      <c r="F71" s="3" t="s">
        <v>151</v>
      </c>
      <c r="G71" s="3">
        <v>0.26507966493290391</v>
      </c>
    </row>
    <row r="72" spans="6:7" x14ac:dyDescent="0.3">
      <c r="F72" s="3" t="s">
        <v>152</v>
      </c>
      <c r="G72" s="3">
        <v>10</v>
      </c>
    </row>
    <row r="73" spans="6:7" x14ac:dyDescent="0.3">
      <c r="F73" s="3" t="s">
        <v>153</v>
      </c>
      <c r="G73" s="3">
        <v>25</v>
      </c>
    </row>
    <row r="74" spans="6:7" x14ac:dyDescent="0.3">
      <c r="F74" s="3" t="s">
        <v>154</v>
      </c>
      <c r="G74" s="3">
        <v>35</v>
      </c>
    </row>
    <row r="75" spans="6:7" x14ac:dyDescent="0.3">
      <c r="F75" s="3" t="s">
        <v>155</v>
      </c>
      <c r="G75" s="3">
        <v>1357</v>
      </c>
    </row>
    <row r="76" spans="6:7" ht="15" thickBot="1" x14ac:dyDescent="0.35">
      <c r="F76" s="4" t="s">
        <v>156</v>
      </c>
      <c r="G76" s="4">
        <v>46</v>
      </c>
    </row>
  </sheetData>
  <conditionalFormatting sqref="N7:N55">
    <cfRule type="top10" dxfId="1" priority="3" rank="10"/>
  </conditionalFormatting>
  <hyperlinks>
    <hyperlink ref="J13" r:id="rId1"/>
    <hyperlink ref="J15" r:id="rId2"/>
  </hyperlinks>
  <pageMargins left="0.7" right="0.7" top="0.75" bottom="0.75" header="0.3" footer="0.3"/>
  <pageSetup orientation="portrait" r:id="rId3"/>
  <drawing r:id="rId4"/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5"/>
  <sheetViews>
    <sheetView workbookViewId="0">
      <selection activeCell="N9" sqref="N9"/>
    </sheetView>
  </sheetViews>
  <sheetFormatPr defaultRowHeight="14.4" x14ac:dyDescent="0.3"/>
  <sheetData>
    <row r="1" spans="1:2" x14ac:dyDescent="0.3">
      <c r="A1" s="5" t="s">
        <v>2</v>
      </c>
      <c r="B1" s="5"/>
    </row>
    <row r="2" spans="1:2" x14ac:dyDescent="0.3">
      <c r="A2" s="3"/>
      <c r="B2" s="3"/>
    </row>
    <row r="3" spans="1:2" x14ac:dyDescent="0.3">
      <c r="A3" s="3" t="s">
        <v>144</v>
      </c>
      <c r="B3" s="3">
        <v>29.5</v>
      </c>
    </row>
    <row r="4" spans="1:2" x14ac:dyDescent="0.3">
      <c r="A4" s="3" t="s">
        <v>145</v>
      </c>
      <c r="B4" s="3">
        <v>0.37782750454196135</v>
      </c>
    </row>
    <row r="5" spans="1:2" x14ac:dyDescent="0.3">
      <c r="A5" s="3" t="s">
        <v>146</v>
      </c>
      <c r="B5" s="3">
        <v>29</v>
      </c>
    </row>
    <row r="6" spans="1:2" x14ac:dyDescent="0.3">
      <c r="A6" s="3" t="s">
        <v>147</v>
      </c>
      <c r="B6" s="3">
        <v>29</v>
      </c>
    </row>
    <row r="7" spans="1:2" x14ac:dyDescent="0.3">
      <c r="A7" s="3" t="s">
        <v>148</v>
      </c>
      <c r="B7" s="3">
        <v>2.5625508125043428</v>
      </c>
    </row>
    <row r="8" spans="1:2" x14ac:dyDescent="0.3">
      <c r="A8" s="3" t="s">
        <v>149</v>
      </c>
      <c r="B8" s="3">
        <v>6.5666666666666664</v>
      </c>
    </row>
    <row r="9" spans="1:2" x14ac:dyDescent="0.3">
      <c r="A9" s="3" t="s">
        <v>150</v>
      </c>
      <c r="B9" s="3">
        <v>-0.868957239872163</v>
      </c>
    </row>
    <row r="10" spans="1:2" x14ac:dyDescent="0.3">
      <c r="A10" s="3" t="s">
        <v>151</v>
      </c>
      <c r="B10" s="3">
        <v>0.26507966493290391</v>
      </c>
    </row>
    <row r="11" spans="1:2" x14ac:dyDescent="0.3">
      <c r="A11" s="3" t="s">
        <v>152</v>
      </c>
      <c r="B11" s="3">
        <v>10</v>
      </c>
    </row>
    <row r="12" spans="1:2" x14ac:dyDescent="0.3">
      <c r="A12" s="3" t="s">
        <v>153</v>
      </c>
      <c r="B12" s="3">
        <v>25</v>
      </c>
    </row>
    <row r="13" spans="1:2" x14ac:dyDescent="0.3">
      <c r="A13" s="3" t="s">
        <v>154</v>
      </c>
      <c r="B13" s="3">
        <v>35</v>
      </c>
    </row>
    <row r="14" spans="1:2" x14ac:dyDescent="0.3">
      <c r="A14" s="3" t="s">
        <v>155</v>
      </c>
      <c r="B14" s="3">
        <v>1357</v>
      </c>
    </row>
    <row r="15" spans="1:2" ht="15" thickBot="1" x14ac:dyDescent="0.35">
      <c r="A15" s="4" t="s">
        <v>156</v>
      </c>
      <c r="B15" s="4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Unmessenger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user</cp:lastModifiedBy>
  <dcterms:created xsi:type="dcterms:W3CDTF">2023-04-26T07:21:03Z</dcterms:created>
  <dcterms:modified xsi:type="dcterms:W3CDTF">2023-07-23T06:40:50Z</dcterms:modified>
</cp:coreProperties>
</file>